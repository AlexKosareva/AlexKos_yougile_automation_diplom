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76f3d407d4b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0112990d14639be7a3fee1fa17f5b.psmdcp" Id="R3cda4fd4275d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9" i="1"/>
  <x:c r="C18" i="1"/>
  <x:c r="C27" i="1"/>
  <x:c r="C36" i="1"/>
  <x:c r="C46" i="1"/>
  <x:c r="C54" i="1"/>
  <x:c r="C63" i="1"/>
  <x:c r="C71" i="1"/>
  <x:c r="C78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<x:sst xmlns:x="http://schemas.openxmlformats.org/spreadsheetml/2006/main">
  <x:si>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</x:si>
  <x:si>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</x:si>
  <x:si>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</x:si>
  <x:si>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</x:si>
  <x:si>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</x:si>
  <x:si>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</x:si>
  <x:si>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</x:si>
  <x:si>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</x:si>
  <x:si>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</x:si>
  <x:si>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</x:si>
  <x:si>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</x:si>
  <x:si>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</x:si>
  <x:si>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</x:si>
  <x:si>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</x:si>
  <x:si>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</x:si>
  <x:si>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</x:si>
  <x:si>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</x:si>
  <x:si>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152</x:t>
  </x:si>
  <x:si>
    <x:t>Первый -&gt; Дипломная работа</x:t>
  </x:si>
  <x:si>
    <x:t>Нет</x:t>
  </x:si>
  <x:si>
    <x:t/>
  </x:si>
  <x:si>
    <x:t>Самый высокий</x:t>
  </x:si>
  <x:si>
    <x:t>Готов</x:t>
  </x:si>
  <x:si>
    <x:t>2/14/2026 20:01:48</x:t>
  </x:si>
  <x:si>
    <x:t>Алекс</x:t>
  </x:si>
  <x:si>
    <x:t>0h 10m 0s</x:t>
  </x:si>
  <x:si>
    <x:t>Зайти на сайт https://ru.yougile.com/</x:t>
  </x:si>
  <x:si>
    <x:t>Открылась главная страница</x:t>
  </x:si>
  <x:si>
    <x:t>Авторизовать пользователя</x:t>
  </x:si>
  <x:si>
    <x:t>Открылась страница “Моя компания”</x:t>
  </x:si>
  <x:si>
    <x:t>Перейти на доску проекта DIPLOM_ALEX_KOS</x:t>
  </x:si>
  <x:si>
    <x:t>Открыта доска проекта</x:t>
  </x:si>
  <x:si>
    <x:t>На доске создана колонка “В работе”</x:t>
  </x:si>
  <x:si>
    <x:t>Колонка отображена на доске</x:t>
  </x:si>
  <x:si>
    <x:t>Кликнуть на кнопку “+ Добавить задачу” “Create”</x:t>
  </x:si>
  <x:si>
    <x:t>Открылось поле ввода названия задачи</x:t>
  </x:si>
  <x:si>
    <x:t>Ввести название задачи “Create”, кликнуть по свободной области экрана</x:t>
  </x:si>
  <x:si>
    <x:t>В колонке отображается задача с введенным названием</x:t>
  </x:si>
  <x:si>
    <x:t>153</x:t>
  </x:si>
  <x:si>
    <x:t>2/14/2026 20:08:37</x:t>
  </x:si>
  <x:si>
    <x:t>Кликнуть на кнопку “+ Добавить задачу”</x:t>
  </x:si>
  <x:si>
    <x:t>Ввести название задачи “Chat”, кликнуть по свободной области экрана</x:t>
  </x:si>
  <x:si>
    <x:t>Кликнуть по карточке задачи</x:t>
  </x:si>
  <x:si>
    <x:t>Открылось окно чата задачи</x:t>
  </x:si>
  <x:si>
    <x:t>В поле ввода ввести сообщение “Привет от теста!” , кликнуть на иконку “самолетик”</x:t>
  </x:si>
  <x:si>
    <x:t>Сообщение отправлено в чат задачи</x:t>
  </x:si>
  <x:si>
    <x:t>154</x:t>
  </x:si>
  <x:si>
    <x:t>Средний</x:t>
  </x:si>
  <x:si>
    <x:t>2/14/2026 20:11:23</x:t>
  </x:si>
  <x:si>
    <x:t>Ввести название задачи “Color”, кликнуть по свободной области экрана</x:t>
  </x:si>
  <x:si>
    <x:t>Нажать на меню задачи “…”</x:t>
  </x:si>
  <x:si>
    <x:t>Появилось меню задачи</x:t>
  </x:si>
  <x:si>
    <x:t>Выбрать бирюзовый цвет в меню</x:t>
  </x:si>
  <x:si>
    <x:t>Карточка задачи сменила цвет на бирюзовый</x:t>
  </x:si>
  <x:si>
    <x:t>155</x:t>
  </x:si>
  <x:si>
    <x:t>Высокий</x:t>
  </x:si>
  <x:si>
    <x:t>2/14/2026 20:19:55</x:t>
  </x:si>
  <x:si>
    <x:t>Ввести название задачи “Rename”, кликнуть по свободной области экрана</x:t>
  </x:si>
  <x:si>
    <x:t>Кликнуть на иконку “Карандаш” рядом с названием задачи</x:t>
  </x:si>
  <x:si>
    <x:t>Активировалось поле ввода названия задачи</x:t>
  </x:si>
  <x:si>
    <x:t>Удалить старое название задачи и написать новое '“UPD_Rename”, нажать Enter</x:t>
  </x:si>
  <x:si>
    <x:t>Карточка задачи изменила название на “UPD_Rename”</x:t>
  </x:si>
  <x:si>
    <x:t>156</x:t>
  </x:si>
  <x:si>
    <x:t>2/14/2026 20:24:32</x:t>
  </x:si>
  <x:si>
    <x:t>Ввести название задачи “Delete”, кликнуть по свободной области экрана</x:t>
  </x:si>
  <x:si>
    <x:t>Нажать на кебаб-меню в правом углу карточки</x:t>
  </x:si>
  <x:si>
    <x:t>Открылось скрытое меню действий</x:t>
  </x:si>
  <x:si>
    <x:t>Выбрать действие “Удалить”</x:t>
  </x:si>
  <x:si>
    <x:t>Открылось окно удаления задачи</x:t>
  </x:si>
  <x:si>
    <x:t>Нажать кнопку “Удалить”</x:t>
  </x:si>
  <x:si>
    <x:t>Задача отсутствует на доске проекта</x:t>
  </x:si>
  <x:si>
    <x:t>157</x:t>
  </x:si>
  <x:si>
    <x:t>2/14/2026 20:30:05</x:t>
  </x:si>
  <x:si>
    <x:t>Активный аккаунт в YouGile.</x:t>
  </x:si>
  <x:si>
    <x:t>Получен API-токен администратора</x:t>
  </x:si>
  <x:si>
    <x:t>Существует колонка с id: {uuid}, значение COLUMN_ID сохранено в переменную</x:t>
  </x:si>
  <x:si>
    <x:t>Сформировать POST запрос на
https://ru.yougile.com/api-v2/tasks</x:t>
  </x:si>
  <x:si>
    <x:t>Запрос прописан с строке для отправки</x:t>
  </x:si>
  <x:si>
    <x:t>Добавить в Header заголовки:
Authorization: Bearer {твой_токен}
Content-Type: application/json</x:t>
  </x:si>
  <x:si>
    <x:t>Запрос успешно проходит проверку подлинности (аутентификацию)</x:t>
  </x:si>
  <x:si>
    <x:t>В Body (JSON) передать:
{
"title": "Первая задача",
"columnId": "{{COLUMN_ID}}"
}</x:t>
  </x:si>
  <x:si>
    <x:t>Тело проекта прописано во вкладке Body, система не выдает ошибок синтаксиса</x:t>
  </x:si>
  <x:si>
    <x:t>Нажать кнопку Send</x:t>
  </x:si>
  <x:si>
    <x:t>Статус-код 201 Created. В теле ответа пришел объект с id новой задачи.</x:t>
  </x:si>
  <x:si>
    <x:t>158</x:t>
  </x:si>
  <x:si>
    <x:t>2/14/2026 20:33:07</x:t>
  </x:si>
  <x:si>
    <x:t>В системе создана хотя бы одна задача</x:t>
  </x:si>
  <x:si>
    <x:t>ID колонки сохранено в переменную</x:t>
  </x:si>
  <x:si>
    <x:t>Сформировать GET запрос на
https://ru.yougile.com/api-v2/tasks</x:t>
  </x:si>
  <x:si>
    <x:t>Добавить в Params columnId:{{COLUMN_ID}}</x:t>
  </x:si>
  <x:si>
    <x:t>GET запрос изменился на
https://ru.yougile.com/api-v2/tasks?columnId={{COLUMN_ID}}</x:t>
  </x:si>
  <x:si>
    <x:t>Статус-код 200 OK. В Body получен список задач, относящихся только к указанному проекту</x:t>
  </x:si>
  <x:si>
    <x:t>159</x:t>
  </x:si>
  <x:si>
    <x:t>2/14/2026 20:38:15</x:t>
  </x:si>
  <x:si>
    <x:t>В проекте существует доска</x:t>
  </x:si>
  <x:si>
    <x:t>Сформировать POST запрос на
https://ru.yougile.com/api-v2/columnsolmns/colm/columns</x:t>
  </x:si>
  <x:si>
    <x:t>В Body (JSON) передать:
{
  "title": "В работе",
  "color": 2,
  "boardId": "{{BOARD_ID}}"
}</x:t>
  </x:si>
  <x:si>
    <x:t>Статус-код 201 Created. В теле ответа пришел объект с id новой колонки.</x:t>
  </x:si>
  <x:si>
    <x:t>160</x:t>
  </x:si>
  <x:si>
    <x:t>2/14/2026 20:40:48</x:t>
  </x:si>
  <x:si>
    <x:t>В Body передать ID, которого нет в системе: {"title": "Bug Task", "columnId": "00000000-0000-0000-0000-000000000000"}</x:t>
  </x:si>
  <x:si>
    <x:t>Статус-код 400 Bad Request или 404 Not Found. Ошибка: Column not found.</x:t>
  </x:si>
  <x:si>
    <x:t>161</x:t>
  </x:si>
  <x:si>
    <x:t>2/14/2026 20:43:00</x:t>
  </x:si>
  <x:si>
    <x:t>Id колонки сохранено в переменную</x:t>
  </x:si>
  <x:si>
    <x:t>Сформировать GET на /tasks/invalid-uuid-123</x:t>
  </x:si>
  <x:si>
    <x:t>Статус-код 404 Not Found. Ошибка: Task not found.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</x:si>
</x:sst>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85" totalsRowShown="0">
  <x:autoFilter ref="A1:Q85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85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8.853482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HYPERLINK("https://team-dtku.testit.software/projects/1/tests/152", "UI: Создание задачи в существующем проекте")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30</x:v>
      </x:c>
      <x:c r="F5" s="1" t="s">
        <x:v>20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32</x:v>
      </x:c>
      <x:c r="F6" s="1" t="s">
        <x:v>20</x:v>
      </x:c>
      <x:c r="G6" s="1" t="s">
        <x:v>20</x:v>
      </x:c>
      <x:c r="H6" s="1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38</x:v>
      </x:c>
      <x:c r="B9" s="2" t="s">
        <x:v>18</x:v>
      </x:c>
      <x:c r="C9" s="2">
        <x:f>HYPERLINK("https://team-dtku.testit.software/projects/1/tests/153", "UI: Отправка текстового сообщения внутри задачи ")</x:f>
      </x:c>
      <x:c r="D9" s="1" t="s">
        <x:v>19</x:v>
      </x:c>
      <x:c r="E9" s="1" t="s">
        <x:v>20</x:v>
      </x:c>
      <x:c r="F9" s="1" t="s">
        <x:v>20</x:v>
      </x:c>
      <x:c r="G9" s="1" t="s">
        <x:v>20</x:v>
      </x:c>
      <x:c r="H9" s="1" t="s">
        <x:v>20</x:v>
      </x:c>
      <x:c r="I9" s="1" t="s">
        <x:v>20</x:v>
      </x:c>
      <x:c r="J9" s="1" t="s">
        <x:v>20</x:v>
      </x:c>
      <x:c r="K9" s="1" t="s">
        <x:v>20</x:v>
      </x:c>
      <x:c r="L9" s="1" t="s">
        <x:v>21</x:v>
      </x:c>
      <x:c r="M9" s="1" t="s">
        <x:v>22</x:v>
      </x:c>
      <x:c r="N9" s="1" t="s">
        <x:v>39</x:v>
      </x:c>
      <x:c r="O9" s="1" t="s">
        <x:v>24</x:v>
      </x:c>
      <x:c r="P9" s="1" t="s">
        <x:v>25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26</x:v>
      </x:c>
      <x:c r="F10" s="1" t="s">
        <x:v>20</x:v>
      </x:c>
      <x:c r="G10" s="1" t="s">
        <x:v>20</x:v>
      </x:c>
      <x:c r="H10" s="1" t="s">
        <x:v>27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28</x:v>
      </x:c>
      <x:c r="F11" s="1" t="s">
        <x:v>20</x:v>
      </x:c>
      <x:c r="G11" s="1" t="s">
        <x:v>20</x:v>
      </x:c>
      <x:c r="H11" s="1" t="s">
        <x:v>29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30</x:v>
      </x:c>
      <x:c r="F12" s="1" t="s">
        <x:v>20</x:v>
      </x:c>
      <x:c r="G12" s="1" t="s">
        <x:v>20</x:v>
      </x:c>
      <x:c r="H12" s="1" t="s">
        <x:v>31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32</x:v>
      </x:c>
      <x:c r="F13" s="1" t="s">
        <x:v>20</x:v>
      </x:c>
      <x:c r="G13" s="1" t="s">
        <x:v>20</x:v>
      </x:c>
      <x:c r="H13" s="1" t="s">
        <x:v>33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40</x:v>
      </x:c>
      <x:c r="G14" s="1" t="s">
        <x:v>20</x:v>
      </x:c>
      <x:c r="H14" s="1" t="s">
        <x:v>35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41</x:v>
      </x:c>
      <x:c r="G15" s="1" t="s">
        <x:v>20</x:v>
      </x:c>
      <x:c r="H15" s="1" t="s">
        <x:v>37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42</x:v>
      </x:c>
      <x:c r="G16" s="1" t="s">
        <x:v>20</x:v>
      </x:c>
      <x:c r="H16" s="1" t="s">
        <x:v>43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44</x:v>
      </x:c>
      <x:c r="G17" s="1" t="s">
        <x:v>20</x:v>
      </x:c>
      <x:c r="H17" s="1" t="s">
        <x:v>45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46</x:v>
      </x:c>
      <x:c r="B18" s="2" t="s">
        <x:v>18</x:v>
      </x:c>
      <x:c r="C18" s="2">
        <x:f>HYPERLINK("https://team-dtku.testit.software/projects/1/tests/154", "UI: Смена цвета карточки задачи")</x:f>
      </x:c>
      <x:c r="D18" s="1" t="s">
        <x:v>19</x:v>
      </x:c>
      <x:c r="E18" s="1" t="s">
        <x:v>20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47</x:v>
      </x:c>
      <x:c r="M18" s="1" t="s">
        <x:v>22</x:v>
      </x:c>
      <x:c r="N18" s="1" t="s">
        <x:v>48</x:v>
      </x:c>
      <x:c r="O18" s="1" t="s">
        <x:v>24</x:v>
      </x:c>
      <x:c r="P18" s="1" t="s">
        <x:v>25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26</x:v>
      </x:c>
      <x:c r="F19" s="1" t="s">
        <x:v>20</x:v>
      </x:c>
      <x:c r="G19" s="1" t="s">
        <x:v>20</x:v>
      </x:c>
      <x:c r="H19" s="1" t="s">
        <x:v>27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28</x:v>
      </x:c>
      <x:c r="F20" s="1" t="s">
        <x:v>20</x:v>
      </x:c>
      <x:c r="G20" s="1" t="s">
        <x:v>20</x:v>
      </x:c>
      <x:c r="H20" s="1" t="s">
        <x:v>29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30</x:v>
      </x:c>
      <x:c r="F21" s="1" t="s">
        <x:v>20</x:v>
      </x:c>
      <x:c r="G21" s="1" t="s">
        <x:v>20</x:v>
      </x:c>
      <x:c r="H21" s="1" t="s">
        <x:v>31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32</x:v>
      </x:c>
      <x:c r="F22" s="1" t="s">
        <x:v>20</x:v>
      </x:c>
      <x:c r="G22" s="1" t="s">
        <x:v>20</x:v>
      </x:c>
      <x:c r="H22" s="1" t="s">
        <x:v>33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20</x:v>
      </x:c>
      <x:c r="B23" s="2" t="s">
        <x:v>20</x:v>
      </x:c>
      <x:c r="C23" s="2" t="s">
        <x:v>20</x:v>
      </x:c>
      <x:c r="D23" s="1" t="s">
        <x:v>20</x:v>
      </x:c>
      <x:c r="E23" s="1" t="s">
        <x:v>20</x:v>
      </x:c>
      <x:c r="F23" s="1" t="s">
        <x:v>40</x:v>
      </x:c>
      <x:c r="G23" s="1" t="s">
        <x:v>20</x:v>
      </x:c>
      <x:c r="H23" s="1" t="s">
        <x:v>35</x:v>
      </x:c>
      <x:c r="I23" s="1" t="s">
        <x:v>20</x:v>
      </x:c>
      <x:c r="J23" s="1" t="s">
        <x:v>20</x:v>
      </x:c>
      <x:c r="K23" s="1" t="s">
        <x:v>20</x:v>
      </x:c>
      <x:c r="L23" s="1" t="s">
        <x:v>20</x:v>
      </x:c>
      <x:c r="M23" s="1" t="s">
        <x:v>20</x:v>
      </x:c>
      <x:c r="N23" s="1" t="s">
        <x:v>20</x:v>
      </x:c>
      <x:c r="O23" s="1" t="s">
        <x:v>20</x:v>
      </x:c>
      <x:c r="P23" s="1" t="s">
        <x:v>20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49</x:v>
      </x:c>
      <x:c r="G24" s="1" t="s">
        <x:v>20</x:v>
      </x:c>
      <x:c r="H24" s="1" t="s">
        <x:v>37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50</x:v>
      </x:c>
      <x:c r="G25" s="1" t="s">
        <x:v>20</x:v>
      </x:c>
      <x:c r="H25" s="1" t="s">
        <x:v>51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52</x:v>
      </x:c>
      <x:c r="G26" s="1" t="s">
        <x:v>20</x:v>
      </x:c>
      <x:c r="H26" s="1" t="s">
        <x:v>53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54</x:v>
      </x:c>
      <x:c r="B27" s="2" t="s">
        <x:v>18</x:v>
      </x:c>
      <x:c r="C27" s="2">
        <x:f>HYPERLINK("https://team-dtku.testit.software/projects/1/tests/155", "UI: Смена названия существующей задачи")</x:f>
      </x:c>
      <x:c r="D27" s="1" t="s">
        <x:v>19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55</x:v>
      </x:c>
      <x:c r="M27" s="1" t="s">
        <x:v>22</x:v>
      </x:c>
      <x:c r="N27" s="1" t="s">
        <x:v>56</x:v>
      </x:c>
      <x:c r="O27" s="1" t="s">
        <x:v>24</x:v>
      </x:c>
      <x:c r="P27" s="1" t="s">
        <x:v>25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26</x:v>
      </x:c>
      <x:c r="F28" s="1" t="s">
        <x:v>20</x:v>
      </x:c>
      <x:c r="G28" s="1" t="s">
        <x:v>20</x:v>
      </x:c>
      <x:c r="H28" s="1" t="s">
        <x:v>27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28</x:v>
      </x:c>
      <x:c r="F29" s="1" t="s">
        <x:v>20</x:v>
      </x:c>
      <x:c r="G29" s="1" t="s">
        <x:v>20</x:v>
      </x:c>
      <x:c r="H29" s="1" t="s">
        <x:v>29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30</x:v>
      </x:c>
      <x:c r="F30" s="1" t="s">
        <x:v>20</x:v>
      </x:c>
      <x:c r="G30" s="1" t="s">
        <x:v>20</x:v>
      </x:c>
      <x:c r="H30" s="1" t="s">
        <x:v>31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32</x:v>
      </x:c>
      <x:c r="F31" s="1" t="s">
        <x:v>20</x:v>
      </x:c>
      <x:c r="G31" s="1" t="s">
        <x:v>20</x:v>
      </x:c>
      <x:c r="H31" s="1" t="s">
        <x:v>33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40</x:v>
      </x:c>
      <x:c r="G32" s="1" t="s">
        <x:v>20</x:v>
      </x:c>
      <x:c r="H32" s="1" t="s">
        <x:v>35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57</x:v>
      </x:c>
      <x:c r="G33" s="1" t="s">
        <x:v>20</x:v>
      </x:c>
      <x:c r="H33" s="1" t="s">
        <x:v>37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58</x:v>
      </x:c>
      <x:c r="G34" s="1" t="s">
        <x:v>20</x:v>
      </x:c>
      <x:c r="H34" s="1" t="s">
        <x:v>59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20</x:v>
      </x:c>
      <x:c r="B35" s="2" t="s">
        <x:v>20</x:v>
      </x:c>
      <x:c r="C35" s="2" t="s">
        <x:v>20</x:v>
      </x:c>
      <x:c r="D35" s="1" t="s">
        <x:v>20</x:v>
      </x:c>
      <x:c r="E35" s="1" t="s">
        <x:v>20</x:v>
      </x:c>
      <x:c r="F35" s="1" t="s">
        <x:v>60</x:v>
      </x:c>
      <x:c r="G35" s="1" t="s">
        <x:v>20</x:v>
      </x:c>
      <x:c r="H35" s="1" t="s">
        <x:v>61</x:v>
      </x:c>
      <x:c r="I35" s="1" t="s">
        <x:v>20</x:v>
      </x:c>
      <x:c r="J35" s="1" t="s">
        <x:v>20</x:v>
      </x:c>
      <x:c r="K35" s="1" t="s">
        <x:v>20</x:v>
      </x:c>
      <x:c r="L35" s="1" t="s">
        <x:v>20</x:v>
      </x:c>
      <x:c r="M35" s="1" t="s">
        <x:v>20</x:v>
      </x:c>
      <x:c r="N35" s="1" t="s">
        <x:v>20</x:v>
      </x:c>
      <x:c r="O35" s="1" t="s">
        <x:v>20</x:v>
      </x:c>
      <x:c r="P35" s="1" t="s">
        <x:v>20</x:v>
      </x:c>
      <x:c r="Q35" s="1" t="s">
        <x:v>20</x:v>
      </x:c>
    </x:row>
    <x:row r="36" spans="1:17">
      <x:c r="A36" s="1" t="s">
        <x:v>62</x:v>
      </x:c>
      <x:c r="B36" s="2" t="s">
        <x:v>18</x:v>
      </x:c>
      <x:c r="C36" s="2">
        <x:f>HYPERLINK("https://team-dtku.testit.software/projects/1/tests/156", "UI: Удаление задачи")</x:f>
      </x:c>
      <x:c r="D36" s="1" t="s">
        <x:v>19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55</x:v>
      </x:c>
      <x:c r="M36" s="1" t="s">
        <x:v>22</x:v>
      </x:c>
      <x:c r="N36" s="1" t="s">
        <x:v>63</x:v>
      </x:c>
      <x:c r="O36" s="1" t="s">
        <x:v>24</x:v>
      </x:c>
      <x:c r="P36" s="1" t="s">
        <x:v>25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26</x:v>
      </x:c>
      <x:c r="F37" s="1" t="s">
        <x:v>20</x:v>
      </x:c>
      <x:c r="G37" s="1" t="s">
        <x:v>20</x:v>
      </x:c>
      <x:c r="H37" s="1" t="s">
        <x:v>27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28</x:v>
      </x:c>
      <x:c r="F38" s="1" t="s">
        <x:v>20</x:v>
      </x:c>
      <x:c r="G38" s="1" t="s">
        <x:v>20</x:v>
      </x:c>
      <x:c r="H38" s="1" t="s">
        <x:v>29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30</x:v>
      </x:c>
      <x:c r="F39" s="1" t="s">
        <x:v>20</x:v>
      </x:c>
      <x:c r="G39" s="1" t="s">
        <x:v>20</x:v>
      </x:c>
      <x:c r="H39" s="1" t="s">
        <x:v>31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32</x:v>
      </x:c>
      <x:c r="F40" s="1" t="s">
        <x:v>20</x:v>
      </x:c>
      <x:c r="G40" s="1" t="s">
        <x:v>20</x:v>
      </x:c>
      <x:c r="H40" s="1" t="s">
        <x:v>33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20</x:v>
      </x:c>
      <x:c r="B41" s="2" t="s">
        <x:v>20</x:v>
      </x:c>
      <x:c r="C41" s="2" t="s">
        <x:v>20</x:v>
      </x:c>
      <x:c r="D41" s="1" t="s">
        <x:v>20</x:v>
      </x:c>
      <x:c r="E41" s="1" t="s">
        <x:v>20</x:v>
      </x:c>
      <x:c r="F41" s="1" t="s">
        <x:v>40</x:v>
      </x:c>
      <x:c r="G41" s="1" t="s">
        <x:v>20</x:v>
      </x:c>
      <x:c r="H41" s="1" t="s">
        <x:v>35</x:v>
      </x:c>
      <x:c r="I41" s="1" t="s">
        <x:v>20</x:v>
      </x:c>
      <x:c r="J41" s="1" t="s">
        <x:v>20</x:v>
      </x:c>
      <x:c r="K41" s="1" t="s">
        <x:v>20</x:v>
      </x:c>
      <x:c r="L41" s="1" t="s">
        <x:v>20</x:v>
      </x:c>
      <x:c r="M41" s="1" t="s">
        <x:v>20</x:v>
      </x:c>
      <x:c r="N41" s="1" t="s">
        <x:v>20</x:v>
      </x:c>
      <x:c r="O41" s="1" t="s">
        <x:v>20</x:v>
      </x:c>
      <x:c r="P41" s="1" t="s">
        <x:v>20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64</x:v>
      </x:c>
      <x:c r="G42" s="1" t="s">
        <x:v>20</x:v>
      </x:c>
      <x:c r="H42" s="1" t="s">
        <x:v>37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65</x:v>
      </x:c>
      <x:c r="G43" s="1" t="s">
        <x:v>20</x:v>
      </x:c>
      <x:c r="H43" s="1" t="s">
        <x:v>66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67</x:v>
      </x:c>
      <x:c r="G44" s="1" t="s">
        <x:v>20</x:v>
      </x:c>
      <x:c r="H44" s="1" t="s">
        <x:v>68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69</x:v>
      </x:c>
      <x:c r="G45" s="1" t="s">
        <x:v>20</x:v>
      </x:c>
      <x:c r="H45" s="1" t="s">
        <x:v>70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71</x:v>
      </x:c>
      <x:c r="B46" s="2" t="s">
        <x:v>18</x:v>
      </x:c>
      <x:c r="C46" s="2">
        <x:f>HYPERLINK("https://team-dtku.testit.software/projects/1/tests/157", "API : [Positive] Создание новой задачи в колонке")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55</x:v>
      </x:c>
      <x:c r="M46" s="1" t="s">
        <x:v>22</x:v>
      </x:c>
      <x:c r="N46" s="1" t="s">
        <x:v>72</x:v>
      </x:c>
      <x:c r="O46" s="1" t="s">
        <x:v>24</x:v>
      </x:c>
      <x:c r="P46" s="1" t="s">
        <x:v>25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73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74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75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2" t="s">
        <x:v>76</x:v>
      </x:c>
      <x:c r="G50" s="1" t="s">
        <x:v>20</x:v>
      </x:c>
      <x:c r="H50" s="1" t="s">
        <x:v>77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2" t="s">
        <x:v>78</x:v>
      </x:c>
      <x:c r="G51" s="1" t="s">
        <x:v>20</x:v>
      </x:c>
      <x:c r="H51" s="1" t="s">
        <x:v>79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2" t="s">
        <x:v>80</x:v>
      </x:c>
      <x:c r="G52" s="1" t="s">
        <x:v>20</x:v>
      </x:c>
      <x:c r="H52" s="1" t="s">
        <x:v>81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82</x:v>
      </x:c>
      <x:c r="G53" s="1" t="s">
        <x:v>20</x:v>
      </x:c>
      <x:c r="H53" s="1" t="s">
        <x:v>83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84</x:v>
      </x:c>
      <x:c r="B54" s="2" t="s">
        <x:v>18</x:v>
      </x:c>
      <x:c r="C54" s="2">
        <x:f>HYPERLINK("https://team-dtku.testit.software/projects/1/tests/158", " API : [Positive]  Получение списка задач из определенной колонки")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55</x:v>
      </x:c>
      <x:c r="M54" s="1" t="s">
        <x:v>22</x:v>
      </x:c>
      <x:c r="N54" s="1" t="s">
        <x:v>85</x:v>
      </x:c>
      <x:c r="O54" s="1" t="s">
        <x:v>24</x:v>
      </x:c>
      <x:c r="P54" s="1" t="s">
        <x:v>25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73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74</x:v>
      </x:c>
      <x:c r="F56" s="1" t="s">
        <x:v>20</x:v>
      </x:c>
      <x:c r="G56" s="1" t="s">
        <x:v>20</x:v>
      </x:c>
      <x:c r="H56" s="1" t="s">
        <x:v>20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86</x:v>
      </x:c>
      <x:c r="F57" s="1" t="s">
        <x:v>20</x:v>
      </x:c>
      <x:c r="G57" s="1" t="s">
        <x:v>20</x:v>
      </x:c>
      <x:c r="H57" s="1" t="s">
        <x:v>20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87</x:v>
      </x:c>
      <x:c r="F58" s="1" t="s">
        <x:v>20</x:v>
      </x:c>
      <x:c r="G58" s="1" t="s">
        <x:v>20</x:v>
      </x:c>
      <x:c r="H58" s="1" t="s">
        <x:v>20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2" t="s">
        <x:v>88</x:v>
      </x:c>
      <x:c r="G59" s="1" t="s">
        <x:v>20</x:v>
      </x:c>
      <x:c r="H59" s="1" t="s">
        <x:v>77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2" t="s">
        <x:v>78</x:v>
      </x:c>
      <x:c r="G60" s="1" t="s">
        <x:v>20</x:v>
      </x:c>
      <x:c r="H60" s="1" t="s">
        <x:v>79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89</x:v>
      </x:c>
      <x:c r="G61" s="1" t="s">
        <x:v>20</x:v>
      </x:c>
      <x:c r="H61" s="2" t="s">
        <x:v>90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20</x:v>
      </x:c>
      <x:c r="B62" s="2" t="s">
        <x:v>20</x:v>
      </x:c>
      <x:c r="C62" s="2" t="s">
        <x:v>20</x:v>
      </x:c>
      <x:c r="D62" s="1" t="s">
        <x:v>20</x:v>
      </x:c>
      <x:c r="E62" s="1" t="s">
        <x:v>20</x:v>
      </x:c>
      <x:c r="F62" s="1" t="s">
        <x:v>82</x:v>
      </x:c>
      <x:c r="G62" s="1" t="s">
        <x:v>20</x:v>
      </x:c>
      <x:c r="H62" s="1" t="s">
        <x:v>91</x:v>
      </x:c>
      <x:c r="I62" s="1" t="s">
        <x:v>20</x:v>
      </x:c>
      <x:c r="J62" s="1" t="s">
        <x:v>20</x:v>
      </x:c>
      <x:c r="K62" s="1" t="s">
        <x:v>20</x:v>
      </x:c>
      <x:c r="L62" s="1" t="s">
        <x:v>20</x:v>
      </x:c>
      <x:c r="M62" s="1" t="s">
        <x:v>20</x:v>
      </x:c>
      <x:c r="N62" s="1" t="s">
        <x:v>20</x:v>
      </x:c>
      <x:c r="O62" s="1" t="s">
        <x:v>20</x:v>
      </x:c>
      <x:c r="P62" s="1" t="s">
        <x:v>20</x:v>
      </x:c>
      <x:c r="Q62" s="1" t="s">
        <x:v>20</x:v>
      </x:c>
    </x:row>
    <x:row r="63" spans="1:17">
      <x:c r="A63" s="1" t="s">
        <x:v>92</x:v>
      </x:c>
      <x:c r="B63" s="2" t="s">
        <x:v>18</x:v>
      </x:c>
      <x:c r="C63" s="2">
        <x:f>HYPERLINK("https://team-dtku.testit.software/projects/1/tests/159", "API : [Positive] Создание новой колонки")</x:f>
      </x:c>
      <x:c r="D63" s="1" t="s">
        <x:v>19</x:v>
      </x:c>
      <x:c r="E63" s="1" t="s">
        <x:v>20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55</x:v>
      </x:c>
      <x:c r="M63" s="1" t="s">
        <x:v>22</x:v>
      </x:c>
      <x:c r="N63" s="1" t="s">
        <x:v>93</x:v>
      </x:c>
      <x:c r="O63" s="1" t="s">
        <x:v>24</x:v>
      </x:c>
      <x:c r="P63" s="1" t="s">
        <x:v>25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73</x:v>
      </x:c>
      <x:c r="F64" s="1" t="s">
        <x:v>20</x:v>
      </x:c>
      <x:c r="G64" s="1" t="s">
        <x:v>20</x:v>
      </x:c>
      <x:c r="H64" s="1" t="s">
        <x:v>20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74</x:v>
      </x:c>
      <x:c r="F65" s="1" t="s">
        <x:v>20</x:v>
      </x:c>
      <x:c r="G65" s="1" t="s">
        <x:v>20</x:v>
      </x:c>
      <x:c r="H65" s="1" t="s">
        <x:v>20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94</x:v>
      </x:c>
      <x:c r="F66" s="1" t="s">
        <x:v>20</x:v>
      </x:c>
      <x:c r="G66" s="1" t="s">
        <x:v>20</x:v>
      </x:c>
      <x:c r="H66" s="1" t="s">
        <x:v>20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2" t="s">
        <x:v>95</x:v>
      </x:c>
      <x:c r="G67" s="1" t="s">
        <x:v>20</x:v>
      </x:c>
      <x:c r="H67" s="1" t="s">
        <x:v>77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2" t="s">
        <x:v>78</x:v>
      </x:c>
      <x:c r="G68" s="1" t="s">
        <x:v>20</x:v>
      </x:c>
      <x:c r="H68" s="1" t="s">
        <x:v>79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20</x:v>
      </x:c>
      <x:c r="B69" s="2" t="s">
        <x:v>20</x:v>
      </x:c>
      <x:c r="C69" s="2" t="s">
        <x:v>20</x:v>
      </x:c>
      <x:c r="D69" s="1" t="s">
        <x:v>20</x:v>
      </x:c>
      <x:c r="E69" s="1" t="s">
        <x:v>20</x:v>
      </x:c>
      <x:c r="F69" s="2" t="s">
        <x:v>96</x:v>
      </x:c>
      <x:c r="G69" s="1" t="s">
        <x:v>20</x:v>
      </x:c>
      <x:c r="H69" s="1" t="s">
        <x:v>81</x:v>
      </x:c>
      <x:c r="I69" s="1" t="s">
        <x:v>20</x:v>
      </x:c>
      <x:c r="J69" s="1" t="s">
        <x:v>20</x:v>
      </x:c>
      <x:c r="K69" s="1" t="s">
        <x:v>20</x:v>
      </x:c>
      <x:c r="L69" s="1" t="s">
        <x:v>20</x:v>
      </x:c>
      <x:c r="M69" s="1" t="s">
        <x:v>20</x:v>
      </x:c>
      <x:c r="N69" s="1" t="s">
        <x:v>20</x:v>
      </x:c>
      <x:c r="O69" s="1" t="s">
        <x:v>20</x:v>
      </x:c>
      <x:c r="P69" s="1" t="s">
        <x:v>20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20</x:v>
      </x:c>
      <x:c r="F70" s="1" t="s">
        <x:v>82</x:v>
      </x:c>
      <x:c r="G70" s="1" t="s">
        <x:v>20</x:v>
      </x:c>
      <x:c r="H70" s="1" t="s">
        <x:v>97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98</x:v>
      </x:c>
      <x:c r="B71" s="2" t="s">
        <x:v>18</x:v>
      </x:c>
      <x:c r="C71" s="2">
        <x:f>HYPERLINK("https://team-dtku.testit.software/projects/1/tests/160", "API : [Negative] Создание задачи в несуществующей колонке")</x:f>
      </x:c>
      <x:c r="D71" s="1" t="s">
        <x:v>19</x:v>
      </x:c>
      <x:c r="E71" s="1" t="s">
        <x:v>20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55</x:v>
      </x:c>
      <x:c r="M71" s="1" t="s">
        <x:v>22</x:v>
      </x:c>
      <x:c r="N71" s="1" t="s">
        <x:v>99</x:v>
      </x:c>
      <x:c r="O71" s="1" t="s">
        <x:v>24</x:v>
      </x:c>
      <x:c r="P71" s="1" t="s">
        <x:v>25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73</x:v>
      </x:c>
      <x:c r="F72" s="1" t="s">
        <x:v>20</x:v>
      </x:c>
      <x:c r="G72" s="1" t="s">
        <x:v>20</x:v>
      </x:c>
      <x:c r="H72" s="1" t="s">
        <x:v>20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74</x:v>
      </x:c>
      <x:c r="F73" s="1" t="s">
        <x:v>20</x:v>
      </x:c>
      <x:c r="G73" s="1" t="s">
        <x:v>20</x:v>
      </x:c>
      <x:c r="H73" s="1" t="s">
        <x:v>20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2" t="s">
        <x:v>76</x:v>
      </x:c>
      <x:c r="G74" s="1" t="s">
        <x:v>20</x:v>
      </x:c>
      <x:c r="H74" s="1" t="s">
        <x:v>77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2" t="s">
        <x:v>78</x:v>
      </x:c>
      <x:c r="G75" s="1" t="s">
        <x:v>20</x:v>
      </x:c>
      <x:c r="H75" s="1" t="s">
        <x:v>79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100</x:v>
      </x:c>
      <x:c r="G76" s="1" t="s">
        <x:v>20</x:v>
      </x:c>
      <x:c r="H76" s="1" t="s">
        <x:v>81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  <x:row r="77" spans="1:17">
      <x:c r="A77" s="1" t="s">
        <x:v>20</x:v>
      </x:c>
      <x:c r="B77" s="2" t="s">
        <x:v>20</x:v>
      </x:c>
      <x:c r="C77" s="2" t="s">
        <x:v>20</x:v>
      </x:c>
      <x:c r="D77" s="1" t="s">
        <x:v>20</x:v>
      </x:c>
      <x:c r="E77" s="1" t="s">
        <x:v>20</x:v>
      </x:c>
      <x:c r="F77" s="1" t="s">
        <x:v>82</x:v>
      </x:c>
      <x:c r="G77" s="1" t="s">
        <x:v>20</x:v>
      </x:c>
      <x:c r="H77" s="1" t="s">
        <x:v>101</x:v>
      </x:c>
      <x:c r="I77" s="1" t="s">
        <x:v>20</x:v>
      </x:c>
      <x:c r="J77" s="1" t="s">
        <x:v>20</x:v>
      </x:c>
      <x:c r="K77" s="1" t="s">
        <x:v>20</x:v>
      </x:c>
      <x:c r="L77" s="1" t="s">
        <x:v>20</x:v>
      </x:c>
      <x:c r="M77" s="1" t="s">
        <x:v>20</x:v>
      </x:c>
      <x:c r="N77" s="1" t="s">
        <x:v>20</x:v>
      </x:c>
      <x:c r="O77" s="1" t="s">
        <x:v>20</x:v>
      </x:c>
      <x:c r="P77" s="1" t="s">
        <x:v>20</x:v>
      </x:c>
      <x:c r="Q77" s="1" t="s">
        <x:v>20</x:v>
      </x:c>
    </x:row>
    <x:row r="78" spans="1:17">
      <x:c r="A78" s="1" t="s">
        <x:v>102</x:v>
      </x:c>
      <x:c r="B78" s="2" t="s">
        <x:v>18</x:v>
      </x:c>
      <x:c r="C78" s="2">
        <x:f>HYPERLINK("https://team-dtku.testit.software/projects/1/tests/161", "API: [Negative] Запрос задачи по невалидному ID")</x:f>
      </x:c>
      <x:c r="D78" s="1" t="s">
        <x:v>19</x:v>
      </x:c>
      <x:c r="E78" s="1" t="s">
        <x:v>20</x:v>
      </x:c>
      <x:c r="F78" s="1" t="s">
        <x:v>20</x:v>
      </x:c>
      <x:c r="G78" s="1" t="s">
        <x:v>20</x:v>
      </x:c>
      <x:c r="H78" s="1" t="s">
        <x:v>20</x:v>
      </x:c>
      <x:c r="I78" s="1" t="s">
        <x:v>20</x:v>
      </x:c>
      <x:c r="J78" s="1" t="s">
        <x:v>20</x:v>
      </x:c>
      <x:c r="K78" s="1" t="s">
        <x:v>20</x:v>
      </x:c>
      <x:c r="L78" s="1" t="s">
        <x:v>55</x:v>
      </x:c>
      <x:c r="M78" s="1" t="s">
        <x:v>22</x:v>
      </x:c>
      <x:c r="N78" s="1" t="s">
        <x:v>103</x:v>
      </x:c>
      <x:c r="O78" s="1" t="s">
        <x:v>24</x:v>
      </x:c>
      <x:c r="P78" s="1" t="s">
        <x:v>25</x:v>
      </x:c>
      <x:c r="Q78" s="1" t="s">
        <x:v>20</x:v>
      </x:c>
    </x:row>
    <x:row r="79" spans="1:17">
      <x:c r="A79" s="1" t="s">
        <x:v>20</x:v>
      </x:c>
      <x:c r="B79" s="2" t="s">
        <x:v>20</x:v>
      </x:c>
      <x:c r="C79" s="2" t="s">
        <x:v>20</x:v>
      </x:c>
      <x:c r="D79" s="1" t="s">
        <x:v>20</x:v>
      </x:c>
      <x:c r="E79" s="1" t="s">
        <x:v>73</x:v>
      </x:c>
      <x:c r="F79" s="1" t="s">
        <x:v>20</x:v>
      </x:c>
      <x:c r="G79" s="1" t="s">
        <x:v>20</x:v>
      </x:c>
      <x:c r="H79" s="1" t="s">
        <x:v>20</x:v>
      </x:c>
      <x:c r="I79" s="1" t="s">
        <x:v>20</x:v>
      </x:c>
      <x:c r="J79" s="1" t="s">
        <x:v>20</x:v>
      </x:c>
      <x:c r="K79" s="1" t="s">
        <x:v>20</x:v>
      </x:c>
      <x:c r="L79" s="1" t="s">
        <x:v>20</x:v>
      </x:c>
      <x:c r="M79" s="1" t="s">
        <x:v>20</x:v>
      </x:c>
      <x:c r="N79" s="1" t="s">
        <x:v>20</x:v>
      </x:c>
      <x:c r="O79" s="1" t="s">
        <x:v>20</x:v>
      </x:c>
      <x:c r="P79" s="1" t="s">
        <x:v>20</x:v>
      </x:c>
      <x:c r="Q79" s="1" t="s">
        <x:v>20</x:v>
      </x:c>
    </x:row>
    <x:row r="80" spans="1:17">
      <x:c r="A80" s="1" t="s">
        <x:v>20</x:v>
      </x:c>
      <x:c r="B80" s="2" t="s">
        <x:v>20</x:v>
      </x:c>
      <x:c r="C80" s="2" t="s">
        <x:v>20</x:v>
      </x:c>
      <x:c r="D80" s="1" t="s">
        <x:v>20</x:v>
      </x:c>
      <x:c r="E80" s="1" t="s">
        <x:v>74</x:v>
      </x:c>
      <x:c r="F80" s="1" t="s">
        <x:v>20</x:v>
      </x:c>
      <x:c r="G80" s="1" t="s">
        <x:v>20</x:v>
      </x:c>
      <x:c r="H80" s="1" t="s">
        <x:v>20</x:v>
      </x:c>
      <x:c r="I80" s="1" t="s">
        <x:v>20</x:v>
      </x:c>
      <x:c r="J80" s="1" t="s">
        <x:v>20</x:v>
      </x:c>
      <x:c r="K80" s="1" t="s">
        <x:v>20</x:v>
      </x:c>
      <x:c r="L80" s="1" t="s">
        <x:v>20</x:v>
      </x:c>
      <x:c r="M80" s="1" t="s">
        <x:v>20</x:v>
      </x:c>
      <x:c r="N80" s="1" t="s">
        <x:v>20</x:v>
      </x:c>
      <x:c r="O80" s="1" t="s">
        <x:v>20</x:v>
      </x:c>
      <x:c r="P80" s="1" t="s">
        <x:v>20</x:v>
      </x:c>
      <x:c r="Q80" s="1" t="s">
        <x:v>20</x:v>
      </x:c>
    </x:row>
    <x:row r="81" spans="1:17">
      <x:c r="A81" s="1" t="s">
        <x:v>20</x:v>
      </x:c>
      <x:c r="B81" s="2" t="s">
        <x:v>20</x:v>
      </x:c>
      <x:c r="C81" s="2" t="s">
        <x:v>20</x:v>
      </x:c>
      <x:c r="D81" s="1" t="s">
        <x:v>20</x:v>
      </x:c>
      <x:c r="E81" s="1" t="s">
        <x:v>86</x:v>
      </x:c>
      <x:c r="F81" s="1" t="s">
        <x:v>20</x:v>
      </x:c>
      <x:c r="G81" s="1" t="s">
        <x:v>20</x:v>
      </x:c>
      <x:c r="H81" s="1" t="s">
        <x:v>20</x:v>
      </x:c>
      <x:c r="I81" s="1" t="s">
        <x:v>20</x:v>
      </x:c>
      <x:c r="J81" s="1" t="s">
        <x:v>20</x:v>
      </x:c>
      <x:c r="K81" s="1" t="s">
        <x:v>20</x:v>
      </x:c>
      <x:c r="L81" s="1" t="s">
        <x:v>20</x:v>
      </x:c>
      <x:c r="M81" s="1" t="s">
        <x:v>20</x:v>
      </x:c>
      <x:c r="N81" s="1" t="s">
        <x:v>20</x:v>
      </x:c>
      <x:c r="O81" s="1" t="s">
        <x:v>20</x:v>
      </x:c>
      <x:c r="P81" s="1" t="s">
        <x:v>20</x:v>
      </x:c>
      <x:c r="Q81" s="1" t="s">
        <x:v>20</x:v>
      </x:c>
    </x:row>
    <x:row r="82" spans="1:17">
      <x:c r="A82" s="1" t="s">
        <x:v>20</x:v>
      </x:c>
      <x:c r="B82" s="2" t="s">
        <x:v>20</x:v>
      </x:c>
      <x:c r="C82" s="2" t="s">
        <x:v>20</x:v>
      </x:c>
      <x:c r="D82" s="1" t="s">
        <x:v>20</x:v>
      </x:c>
      <x:c r="E82" s="1" t="s">
        <x:v>104</x:v>
      </x:c>
      <x:c r="F82" s="1" t="s">
        <x:v>20</x:v>
      </x:c>
      <x:c r="G82" s="1" t="s">
        <x:v>20</x:v>
      </x:c>
      <x:c r="H82" s="1" t="s">
        <x:v>20</x:v>
      </x:c>
      <x:c r="I82" s="1" t="s">
        <x:v>20</x:v>
      </x:c>
      <x:c r="J82" s="1" t="s">
        <x:v>20</x:v>
      </x:c>
      <x:c r="K82" s="1" t="s">
        <x:v>20</x:v>
      </x:c>
      <x:c r="L82" s="1" t="s">
        <x:v>20</x:v>
      </x:c>
      <x:c r="M82" s="1" t="s">
        <x:v>20</x:v>
      </x:c>
      <x:c r="N82" s="1" t="s">
        <x:v>20</x:v>
      </x:c>
      <x:c r="O82" s="1" t="s">
        <x:v>20</x:v>
      </x:c>
      <x:c r="P82" s="1" t="s">
        <x:v>20</x:v>
      </x:c>
      <x:c r="Q82" s="1" t="s">
        <x:v>20</x:v>
      </x:c>
    </x:row>
    <x:row r="83" spans="1:17">
      <x:c r="A83" s="1" t="s">
        <x:v>20</x:v>
      </x:c>
      <x:c r="B83" s="2" t="s">
        <x:v>20</x:v>
      </x:c>
      <x:c r="C83" s="2" t="s">
        <x:v>20</x:v>
      </x:c>
      <x:c r="D83" s="1" t="s">
        <x:v>20</x:v>
      </x:c>
      <x:c r="E83" s="1" t="s">
        <x:v>20</x:v>
      </x:c>
      <x:c r="F83" s="1" t="s">
        <x:v>105</x:v>
      </x:c>
      <x:c r="G83" s="1" t="s">
        <x:v>20</x:v>
      </x:c>
      <x:c r="H83" s="1" t="s">
        <x:v>77</x:v>
      </x:c>
      <x:c r="I83" s="1" t="s">
        <x:v>20</x:v>
      </x:c>
      <x:c r="J83" s="1" t="s">
        <x:v>20</x:v>
      </x:c>
      <x:c r="K83" s="1" t="s">
        <x:v>20</x:v>
      </x:c>
      <x:c r="L83" s="1" t="s">
        <x:v>20</x:v>
      </x:c>
      <x:c r="M83" s="1" t="s">
        <x:v>20</x:v>
      </x:c>
      <x:c r="N83" s="1" t="s">
        <x:v>20</x:v>
      </x:c>
      <x:c r="O83" s="1" t="s">
        <x:v>20</x:v>
      </x:c>
      <x:c r="P83" s="1" t="s">
        <x:v>20</x:v>
      </x:c>
      <x:c r="Q83" s="1" t="s">
        <x:v>20</x:v>
      </x:c>
    </x:row>
    <x:row r="84" spans="1:17">
      <x:c r="A84" s="1" t="s">
        <x:v>20</x:v>
      </x:c>
      <x:c r="B84" s="2" t="s">
        <x:v>20</x:v>
      </x:c>
      <x:c r="C84" s="2" t="s">
        <x:v>20</x:v>
      </x:c>
      <x:c r="D84" s="1" t="s">
        <x:v>20</x:v>
      </x:c>
      <x:c r="E84" s="1" t="s">
        <x:v>20</x:v>
      </x:c>
      <x:c r="F84" s="2" t="s">
        <x:v>78</x:v>
      </x:c>
      <x:c r="G84" s="1" t="s">
        <x:v>20</x:v>
      </x:c>
      <x:c r="H84" s="1" t="s">
        <x:v>79</x:v>
      </x:c>
      <x:c r="I84" s="1" t="s">
        <x:v>20</x:v>
      </x:c>
      <x:c r="J84" s="1" t="s">
        <x:v>20</x:v>
      </x:c>
      <x:c r="K84" s="1" t="s">
        <x:v>20</x:v>
      </x:c>
      <x:c r="L84" s="1" t="s">
        <x:v>20</x:v>
      </x:c>
      <x:c r="M84" s="1" t="s">
        <x:v>20</x:v>
      </x:c>
      <x:c r="N84" s="1" t="s">
        <x:v>20</x:v>
      </x:c>
      <x:c r="O84" s="1" t="s">
        <x:v>20</x:v>
      </x:c>
      <x:c r="P84" s="1" t="s">
        <x:v>20</x:v>
      </x:c>
      <x:c r="Q84" s="1" t="s">
        <x:v>20</x:v>
      </x:c>
    </x:row>
    <x:row r="85" spans="1:17">
      <x:c r="A85" s="1" t="s">
        <x:v>20</x:v>
      </x:c>
      <x:c r="B85" s="2" t="s">
        <x:v>20</x:v>
      </x:c>
      <x:c r="C85" s="2" t="s">
        <x:v>20</x:v>
      </x:c>
      <x:c r="D85" s="1" t="s">
        <x:v>20</x:v>
      </x:c>
      <x:c r="E85" s="1" t="s">
        <x:v>20</x:v>
      </x:c>
      <x:c r="F85" s="1" t="s">
        <x:v>82</x:v>
      </x:c>
      <x:c r="G85" s="1" t="s">
        <x:v>20</x:v>
      </x:c>
      <x:c r="H85" s="1" t="s">
        <x:v>106</x:v>
      </x:c>
      <x:c r="I85" s="1" t="s">
        <x:v>20</x:v>
      </x:c>
      <x:c r="J85" s="1" t="s">
        <x:v>20</x:v>
      </x:c>
      <x:c r="K85" s="1" t="s">
        <x:v>20</x:v>
      </x:c>
      <x:c r="L85" s="1" t="s">
        <x:v>20</x:v>
      </x:c>
      <x:c r="M85" s="1" t="s">
        <x:v>20</x:v>
      </x:c>
      <x:c r="N85" s="1" t="s">
        <x:v>20</x:v>
      </x:c>
      <x:c r="O85" s="1" t="s">
        <x:v>20</x:v>
      </x:c>
      <x:c r="P85" s="1" t="s">
        <x:v>20</x:v>
      </x:c>
      <x:c r="Q8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